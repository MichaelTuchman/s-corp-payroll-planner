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ftuc\Downloads\"/>
    </mc:Choice>
  </mc:AlternateContent>
  <xr:revisionPtr revIDLastSave="0" documentId="13_ncr:1_{7A7B8588-4C6B-4DAB-AFC3-F639F57FC940}" xr6:coauthVersionLast="47" xr6:coauthVersionMax="47" xr10:uidLastSave="{00000000-0000-0000-0000-000000000000}"/>
  <bookViews>
    <workbookView xWindow="-120" yWindow="-120" windowWidth="38640" windowHeight="21120" xr2:uid="{00000000-000D-0000-FFFF-FFFF00000000}"/>
  </bookViews>
  <sheets>
    <sheet name="Plann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2" i="1" l="1"/>
  <c r="S87" i="1" s="1"/>
  <c r="AP87" i="1"/>
  <c r="AK87" i="1"/>
  <c r="AJ87" i="1"/>
  <c r="AI87" i="1"/>
  <c r="G87" i="1"/>
  <c r="F87" i="1"/>
  <c r="D87" i="1"/>
  <c r="C87" i="1"/>
  <c r="B87" i="1"/>
  <c r="A87" i="1"/>
  <c r="B67" i="1"/>
  <c r="X87" i="1" s="1"/>
  <c r="B66" i="1"/>
  <c r="B74" i="1" s="1"/>
  <c r="AE87" i="1" s="1"/>
  <c r="B65" i="1"/>
  <c r="V87" i="1" s="1"/>
  <c r="B64" i="1"/>
  <c r="U87" i="1" s="1"/>
  <c r="B63" i="1"/>
  <c r="T87" i="1" s="1"/>
  <c r="B52" i="1"/>
  <c r="J87" i="1" s="1"/>
  <c r="B50" i="1"/>
  <c r="B58" i="1" s="1"/>
  <c r="B49" i="1"/>
  <c r="E87" i="1" s="1"/>
  <c r="B22" i="1"/>
  <c r="B23" i="1" s="1"/>
  <c r="B57" i="1" l="1"/>
  <c r="B72" i="1" s="1"/>
  <c r="AC87" i="1" s="1"/>
  <c r="B73" i="1"/>
  <c r="AD87" i="1" s="1"/>
  <c r="P87" i="1"/>
  <c r="B54" i="1"/>
  <c r="L87" i="1" s="1"/>
  <c r="B55" i="1"/>
  <c r="B75" i="1"/>
  <c r="AF87" i="1" s="1"/>
  <c r="O87" i="1"/>
  <c r="B53" i="1"/>
  <c r="K87" i="1" s="1"/>
  <c r="W87" i="1"/>
  <c r="B56" i="1"/>
  <c r="H87" i="1"/>
  <c r="B51" i="1"/>
  <c r="B68" i="1"/>
  <c r="Y87" i="1" l="1"/>
  <c r="B76" i="1"/>
  <c r="AG87" i="1" s="1"/>
  <c r="B69" i="1"/>
  <c r="Z87" i="1" s="1"/>
  <c r="I87" i="1"/>
  <c r="B59" i="1"/>
  <c r="N87" i="1"/>
  <c r="B71" i="1"/>
  <c r="AB87" i="1" s="1"/>
  <c r="B70" i="1"/>
  <c r="AA87" i="1" s="1"/>
  <c r="M87" i="1"/>
  <c r="Q87" i="1" l="1"/>
  <c r="B60" i="1"/>
  <c r="B78" i="1" s="1"/>
  <c r="R87" i="1" l="1"/>
  <c r="AH87" i="1" l="1"/>
  <c r="B79" i="1"/>
  <c r="B80" i="1" l="1"/>
  <c r="AL87" i="1"/>
  <c r="AM87" i="1" l="1"/>
  <c r="B81" i="1"/>
  <c r="AN87" i="1" l="1"/>
  <c r="B82" i="1"/>
  <c r="AO87" i="1" s="1"/>
</calcChain>
</file>

<file path=xl/sharedStrings.xml><?xml version="1.0" encoding="utf-8"?>
<sst xmlns="http://schemas.openxmlformats.org/spreadsheetml/2006/main" count="384" uniqueCount="279">
  <si>
    <t>Solo S-Corp Payroll &amp; Cash Planner</t>
  </si>
  <si>
    <t>Section 1 — Inputs</t>
  </si>
  <si>
    <t>Input</t>
  </si>
  <si>
    <t>Value</t>
  </si>
  <si>
    <t>Units</t>
  </si>
  <si>
    <t>What it means</t>
  </si>
  <si>
    <t>Why it matters</t>
  </si>
  <si>
    <t>Source / note</t>
  </si>
  <si>
    <t>Planning month</t>
  </si>
  <si>
    <t>month</t>
  </si>
  <si>
    <t>Month being modeled.</t>
  </si>
  <si>
    <t>Labels the scenario and future register row.</t>
  </si>
  <si>
    <t>User input</t>
  </si>
  <si>
    <t>Planned billable hours</t>
  </si>
  <si>
    <t>hours</t>
  </si>
  <si>
    <t>Client hours expected for the month.</t>
  </si>
  <si>
    <t>Drives billed revenue and gross wages.</t>
  </si>
  <si>
    <t>Billing rate</t>
  </si>
  <si>
    <t>$/hour</t>
  </si>
  <si>
    <t>Amount charged per billable hour.</t>
  </si>
  <si>
    <t>Converts hours into expected billed revenue.</t>
  </si>
  <si>
    <t>Client contract</t>
  </si>
  <si>
    <t>Wage rate</t>
  </si>
  <si>
    <t>Hourly W-2 wage paid to the owner-employee.</t>
  </si>
  <si>
    <t>Converts hours into gross payroll.</t>
  </si>
  <si>
    <t>Owner compensation policy</t>
  </si>
  <si>
    <t>Expected client receipts</t>
  </si>
  <si>
    <t>$</t>
  </si>
  <si>
    <t>Cash expected from the client this month.</t>
  </si>
  <si>
    <t>Cash planning uses receipts, not only billed revenue.</t>
  </si>
  <si>
    <t>Beginning LLC cash</t>
  </si>
  <si>
    <t>Business cash before current-month receipts.</t>
  </si>
  <si>
    <t>Determines cash available before payroll.</t>
  </si>
  <si>
    <t>Bank balance</t>
  </si>
  <si>
    <t>Other operating expenses</t>
  </si>
  <si>
    <t>Insurance, software, accounting, travel, and similar costs.</t>
  </si>
  <si>
    <t>Reduces available cash.</t>
  </si>
  <si>
    <t>Payroll service fees</t>
  </si>
  <si>
    <t>Accountant or payroll-provider fee.</t>
  </si>
  <si>
    <t>Minimum operating cash reserve</t>
  </si>
  <si>
    <t>Cash intentionally retained after all obligations.</t>
  </si>
  <si>
    <t>Protects the business from running too close.</t>
  </si>
  <si>
    <t>Owner policy</t>
  </si>
  <si>
    <t>SEP contribution rate</t>
  </si>
  <si>
    <t>%</t>
  </si>
  <si>
    <t>Employer-only SEP contribution percentage.</t>
  </si>
  <si>
    <t>Creates a retirement reserve.</t>
  </si>
  <si>
    <t>YTD wages before this payroll</t>
  </si>
  <si>
    <t>Wages already paid earlier in the year.</t>
  </si>
  <si>
    <t>Applies annual wage bases and thresholds.</t>
  </si>
  <si>
    <t>Payroll records</t>
  </si>
  <si>
    <t>YTD SEP contributions before this payroll</t>
  </si>
  <si>
    <t>SEP contributions already made this year.</t>
  </si>
  <si>
    <t>Applies the annual SEP contribution limit.</t>
  </si>
  <si>
    <t>Retirement records</t>
  </si>
  <si>
    <t>Notes</t>
  </si>
  <si>
    <t>July planning scenario</t>
  </si>
  <si>
    <t>text</t>
  </si>
  <si>
    <t>Optional scenario note.</t>
  </si>
  <si>
    <t>Useful when copied later to a register.</t>
  </si>
  <si>
    <t>Planning distinction</t>
  </si>
  <si>
    <t>Calculated value</t>
  </si>
  <si>
    <t>Meaning</t>
  </si>
  <si>
    <t>Cash effect</t>
  </si>
  <si>
    <t>Interpretation</t>
  </si>
  <si>
    <t>Expected billed revenue</t>
  </si>
  <si>
    <t>Planned hours × billing rate.</t>
  </si>
  <si>
    <t>Not necessarily cash until collected.</t>
  </si>
  <si>
    <t>For prompt-paying clients, it normally equals expected receipts.</t>
  </si>
  <si>
    <t>Receipts timing difference</t>
  </si>
  <si>
    <t>Expected receipts − expected billed revenue.</t>
  </si>
  <si>
    <t>Positive or negative timing difference.</t>
  </si>
  <si>
    <t>Zero means billing and receipts match for the month.</t>
  </si>
  <si>
    <t>Section 2 — Default Tax Rates and Limits</t>
  </si>
  <si>
    <t>Tax parameter</t>
  </si>
  <si>
    <t>Applies to</t>
  </si>
  <si>
    <t>Purpose</t>
  </si>
  <si>
    <t>Federal withholding planning rate</t>
  </si>
  <si>
    <t>Employee</t>
  </si>
  <si>
    <t>Estimates federal income-tax withholding.</t>
  </si>
  <si>
    <t>Replace with accountant's actual withholding when available.</t>
  </si>
  <si>
    <t>Employee Social Security rate</t>
  </si>
  <si>
    <t>Employee OASDI withholding.</t>
  </si>
  <si>
    <t>IRS Publication 15</t>
  </si>
  <si>
    <t>Employer Social Security rate</t>
  </si>
  <si>
    <t>Employer</t>
  </si>
  <si>
    <t>Employer OASDI contribution.</t>
  </si>
  <si>
    <t>Social Security wage base</t>
  </si>
  <si>
    <t>$ annual wages</t>
  </si>
  <si>
    <t>Both</t>
  </si>
  <si>
    <t>Caps employee and employer Social Security.</t>
  </si>
  <si>
    <t>SSA annual wage base</t>
  </si>
  <si>
    <t>Employee Medicare rate</t>
  </si>
  <si>
    <t>Employee Medicare withholding.</t>
  </si>
  <si>
    <t>Employer Medicare rate</t>
  </si>
  <si>
    <t>Employer Medicare contribution.</t>
  </si>
  <si>
    <t>Additional Medicare rate</t>
  </si>
  <si>
    <t>Additional Medicare withholding above threshold.</t>
  </si>
  <si>
    <t>IRS Topic 560</t>
  </si>
  <si>
    <t>Additional Medicare threshold</t>
  </si>
  <si>
    <t>Employer withholding threshold.</t>
  </si>
  <si>
    <t>Generic user-entered state withholding rate.</t>
  </si>
  <si>
    <t>Enter local current rate.</t>
  </si>
  <si>
    <t>Local income / occupational tax rate</t>
  </si>
  <si>
    <t>Generic local payroll-tax rate.</t>
  </si>
  <si>
    <t>Enter zero if none applies.</t>
  </si>
  <si>
    <t>Employee state unemployment rate</t>
  </si>
  <si>
    <t>Employee UI contribution where applicable.</t>
  </si>
  <si>
    <t>Employer state unemployment rate</t>
  </si>
  <si>
    <t>Employer UI contribution.</t>
  </si>
  <si>
    <t>Use assigned employer rate.</t>
  </si>
  <si>
    <t>State unemployment wage base</t>
  </si>
  <si>
    <t>Caps state unemployment estimate.</t>
  </si>
  <si>
    <t>Enter current state wage base.</t>
  </si>
  <si>
    <t>Employee leave / disability rate</t>
  </si>
  <si>
    <t>State paid-leave or disability deduction.</t>
  </si>
  <si>
    <t>Employer leave / disability rate</t>
  </si>
  <si>
    <t>Employer paid-leave or disability contribution.</t>
  </si>
  <si>
    <t>Other state payroll-tax rate</t>
  </si>
  <si>
    <t>Other state payroll assessment.</t>
  </si>
  <si>
    <t>FUTA rate</t>
  </si>
  <si>
    <t>Federal unemployment estimate.</t>
  </si>
  <si>
    <t>Assumes full state credit.</t>
  </si>
  <si>
    <t>FUTA wage base</t>
  </si>
  <si>
    <t>Caps FUTA estimate.</t>
  </si>
  <si>
    <t>IRS Topic 759</t>
  </si>
  <si>
    <t>SEP annual contribution limit</t>
  </si>
  <si>
    <t>$ annual contribution</t>
  </si>
  <si>
    <t>Caps employer SEP contribution.</t>
  </si>
  <si>
    <t>IRS annual limit</t>
  </si>
  <si>
    <t>Section 3 — Model Results</t>
  </si>
  <si>
    <t>Result</t>
  </si>
  <si>
    <t>Amount</t>
  </si>
  <si>
    <t>Category</t>
  </si>
  <si>
    <t>Cash treatment</t>
  </si>
  <si>
    <t>Formula basis</t>
  </si>
  <si>
    <t>Margin threshold</t>
  </si>
  <si>
    <t>Status</t>
  </si>
  <si>
    <t>Revenue</t>
  </si>
  <si>
    <t>Planning</t>
  </si>
  <si>
    <t>Billable hours × billing rate</t>
  </si>
  <si>
    <t>Gross W-2 wages</t>
  </si>
  <si>
    <t>Payroll</t>
  </si>
  <si>
    <t>Paid through payroll</t>
  </si>
  <si>
    <t>Billable hours × wage rate</t>
  </si>
  <si>
    <t>DEFICIT</t>
  </si>
  <si>
    <t>Federal income tax withheld</t>
  </si>
  <si>
    <t>Employee withholding</t>
  </si>
  <si>
    <t>Federal payroll deposit</t>
  </si>
  <si>
    <t>Gross wages × federal planning rate</t>
  </si>
  <si>
    <t>DIRE WARNING</t>
  </si>
  <si>
    <t>Employee Social Security</t>
  </si>
  <si>
    <t>Subject to annual wage base</t>
  </si>
  <si>
    <t>TOO CLOSE</t>
  </si>
  <si>
    <t>Employee Medicare</t>
  </si>
  <si>
    <t>Gross wages × Medicare rate</t>
  </si>
  <si>
    <t>OK</t>
  </si>
  <si>
    <t>Additional Medicare</t>
  </si>
  <si>
    <t>Applies above annual threshold</t>
  </si>
  <si>
    <t>SAFE</t>
  </si>
  <si>
    <t>State income tax</t>
  </si>
  <si>
    <t>State withholding deposit</t>
  </si>
  <si>
    <t>Gross wages × state rate</t>
  </si>
  <si>
    <t>GREAT</t>
  </si>
  <si>
    <t>Local income / occupational tax</t>
  </si>
  <si>
    <t>Local tax deposit</t>
  </si>
  <si>
    <t>Gross wages × local rate</t>
  </si>
  <si>
    <t>Employee state unemployment</t>
  </si>
  <si>
    <t>State UI deposit</t>
  </si>
  <si>
    <t>Subject to state wage base</t>
  </si>
  <si>
    <t>Employee leave / disability</t>
  </si>
  <si>
    <t>State leave/disability deposit</t>
  </si>
  <si>
    <t>Gross wages × employee rate</t>
  </si>
  <si>
    <t>Total employee withholding</t>
  </si>
  <si>
    <t>Subtotal</t>
  </si>
  <si>
    <t>Reserved deposits</t>
  </si>
  <si>
    <t>Sum of employee withholding</t>
  </si>
  <si>
    <t>Net employee paycheck</t>
  </si>
  <si>
    <t>Cash payment</t>
  </si>
  <si>
    <t>Paid to owner-employee</t>
  </si>
  <si>
    <t>Gross wages − employee withholding</t>
  </si>
  <si>
    <t>Employer Social Security</t>
  </si>
  <si>
    <t>Employer tax</t>
  </si>
  <si>
    <t>Employer Medicare</t>
  </si>
  <si>
    <t>Employer state unemployment</t>
  </si>
  <si>
    <t>Employer leave / disability</t>
  </si>
  <si>
    <t>Gross wages × employer rate</t>
  </si>
  <si>
    <t>Other state payroll tax</t>
  </si>
  <si>
    <t>Other state payroll deposit</t>
  </si>
  <si>
    <t>Gross wages × other state rate</t>
  </si>
  <si>
    <t>FUTA</t>
  </si>
  <si>
    <t>FUTA reserve</t>
  </si>
  <si>
    <t>Subject to FUTA wage base</t>
  </si>
  <si>
    <t>SEP contribution</t>
  </si>
  <si>
    <t>Retirement</t>
  </si>
  <si>
    <t>SEP reserve</t>
  </si>
  <si>
    <t>Gross wages × SEP rate, capped annually</t>
  </si>
  <si>
    <t>Federal payroll tax deposit</t>
  </si>
  <si>
    <t>Required deposit</t>
  </si>
  <si>
    <t>Reserved</t>
  </si>
  <si>
    <t>Federal withholding + employee/employer FICA</t>
  </si>
  <si>
    <t>State income-tax withholding</t>
  </si>
  <si>
    <t>Local employee tax</t>
  </si>
  <si>
    <t>State unemployment deposit</t>
  </si>
  <si>
    <t>Employee + employer state UI</t>
  </si>
  <si>
    <t>State leave / disability deposit</t>
  </si>
  <si>
    <t>Employee + employer contributions</t>
  </si>
  <si>
    <t>Other employer state payroll tax</t>
  </si>
  <si>
    <t>Required reserve</t>
  </si>
  <si>
    <t>Employer FUTA</t>
  </si>
  <si>
    <t>SEP contribution reserve</t>
  </si>
  <si>
    <t>Employer SEP contribution</t>
  </si>
  <si>
    <t>Total payroll cash requirement</t>
  </si>
  <si>
    <t>Cash requirement</t>
  </si>
  <si>
    <t>Cash use / reserve</t>
  </si>
  <si>
    <t>Net paycheck + all deposits + SEP</t>
  </si>
  <si>
    <t>Cash after all obligations</t>
  </si>
  <si>
    <t>Cash result</t>
  </si>
  <si>
    <t>Before minimum reserve</t>
  </si>
  <si>
    <t>Beginning cash + receipts − obligations − expenses</t>
  </si>
  <si>
    <t>Available cash</t>
  </si>
  <si>
    <t>Free cash</t>
  </si>
  <si>
    <t>Cash after obligations − minimum reserve</t>
  </si>
  <si>
    <t>Available cash margin</t>
  </si>
  <si>
    <t>Safety metric</t>
  </si>
  <si>
    <t>None</t>
  </si>
  <si>
    <t>Available cash ÷ client receipts</t>
  </si>
  <si>
    <t>Payroll health status</t>
  </si>
  <si>
    <t>Safety status</t>
  </si>
  <si>
    <t>Approximate threshold lookup</t>
  </si>
  <si>
    <t>Copy-Ready Payroll Snapshot — headers in row 84, values in row 85</t>
  </si>
  <si>
    <t>Month</t>
  </si>
  <si>
    <t>Planned Billable Hours</t>
  </si>
  <si>
    <t>Billing Rate ($/hr)</t>
  </si>
  <si>
    <t>Wage Rate ($/hr)</t>
  </si>
  <si>
    <t>Expected Billed Revenue ($)</t>
  </si>
  <si>
    <t>Expected Client Receipts ($)</t>
  </si>
  <si>
    <t>Beginning LLC Cash ($)</t>
  </si>
  <si>
    <t>Gross Wages ($)</t>
  </si>
  <si>
    <t>Federal Withholding ($)</t>
  </si>
  <si>
    <t>Employee Social Security ($)</t>
  </si>
  <si>
    <t>Employee Medicare ($)</t>
  </si>
  <si>
    <t>Additional Medicare ($)</t>
  </si>
  <si>
    <t>State Income Tax ($)</t>
  </si>
  <si>
    <t>Local Tax ($)</t>
  </si>
  <si>
    <t>Employee State UI ($)</t>
  </si>
  <si>
    <t>Employee Leave / Disability ($)</t>
  </si>
  <si>
    <t>Total Employee Withholding ($)</t>
  </si>
  <si>
    <t>Net Paycheck ($)</t>
  </si>
  <si>
    <t>Employer Social Security ($)</t>
  </si>
  <si>
    <t>Employer Medicare ($)</t>
  </si>
  <si>
    <t>Employer State UI ($)</t>
  </si>
  <si>
    <t>Employer Leave / Disability ($)</t>
  </si>
  <si>
    <t>Other State Payroll Tax ($)</t>
  </si>
  <si>
    <t>FUTA ($)</t>
  </si>
  <si>
    <t>SEP Contribution ($)</t>
  </si>
  <si>
    <t>Federal Payroll Tax Deposit ($)</t>
  </si>
  <si>
    <t>State Withholding Deposit ($)</t>
  </si>
  <si>
    <t>Local Tax Deposit ($)</t>
  </si>
  <si>
    <t>State UI Deposit ($)</t>
  </si>
  <si>
    <t>State Leave / Disability Deposit ($)</t>
  </si>
  <si>
    <t>Other State Payroll Deposit ($)</t>
  </si>
  <si>
    <t>FUTA Reserve ($)</t>
  </si>
  <si>
    <t>SEP Reserve ($)</t>
  </si>
  <si>
    <t>Total Payroll Cash Requirement ($)</t>
  </si>
  <si>
    <t>Other Operating Expenses ($)</t>
  </si>
  <si>
    <t>Payroll Service Fees ($)</t>
  </si>
  <si>
    <t>Minimum Cash Reserve ($)</t>
  </si>
  <si>
    <t>Cash After Obligations ($)</t>
  </si>
  <si>
    <t>Available Cash ($)</t>
  </si>
  <si>
    <t>Available Cash Margin</t>
  </si>
  <si>
    <t>Cash Health Status</t>
  </si>
  <si>
    <t>Section 4 — Employer Responsibilities</t>
  </si>
  <si>
    <t>Section 5 - Cash Analysis</t>
  </si>
  <si>
    <t>State income-tax rate (enter as "0.06", not "6")</t>
  </si>
  <si>
    <t>DISCLAIMER: USE FOR PLANNING PURPOSES ONLY.  TAX AND PAYROLL FILING SHOULD BE PERFORMED ONLY BY A PROFESSIONAL.</t>
  </si>
  <si>
    <t>Blue cells are user inputs. Colored result cells are calculated automatically. The horizontal results block at the bottom is designed to be copied later as values into a payroll register.</t>
  </si>
  <si>
    <t>Use this sheet to model one payroll scenario. Blue cells are user inputs. Green cells are formulas. The horizontal results block at the bottom is designed to be copied later as values into a payroll register.</t>
  </si>
  <si>
    <t>Version 0.9 Beta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</si>
</sst>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0.00;[Red]\(\$#,##0.00\);\-"/>
    <numFmt numFmtId="166" formatCode="0.00%;[Red]\(0.00%\);\-"/>
  </numFmts>
  <fonts count="12">
    <font>
      <sz val="11"/>
      <name val="Carlito"/>
    </font>
    <font>
      <b/>
      <sz val="18"/>
      <color rgb="FFFFFFFF"/>
      <name val="Aptos"/>
    </font>
    <font>
      <b/>
      <sz val="10"/>
      <color rgb="FFFFFFFF"/>
      <name val="Aptos"/>
    </font>
    <font>
      <sz val="10"/>
      <name val="Aptos"/>
    </font>
    <font>
      <i/>
      <sz val="10"/>
      <name val="Aptos"/>
    </font>
    <font>
      <b/>
      <sz val="10"/>
      <name val="Aptos"/>
    </font>
    <font>
      <b/>
      <sz val="10"/>
      <color rgb="FF0000FF"/>
      <name val="Aptos"/>
    </font>
    <font>
      <b/>
      <sz val="10"/>
      <color rgb="FF000000"/>
      <name val="Aptos"/>
    </font>
    <font>
      <sz val="11"/>
      <name val="Carlito"/>
    </font>
    <font>
      <b/>
      <sz val="10"/>
      <color rgb="FFFF0000"/>
      <name val="Aptos"/>
      <family val="2"/>
    </font>
    <font>
      <i/>
      <sz val="10"/>
      <name val="Aptos"/>
      <family val="2"/>
    </font>
    <font>
      <b/>
      <sz val="18"/>
      <color rgb="FFFFFFFF"/>
      <name val="Aptos"/>
      <family val="2"/>
    </font>
  </fonts>
  <fills count="8">
    <fill>
      <patternFill patternType="none"/>
    </fill>
    <fill>
      <patternFill patternType="gray125"/>
    </fill>
    <fill>
      <patternFill patternType="solid">
        <fgColor rgb="FF17365D"/>
      </patternFill>
    </fill>
    <fill>
      <patternFill patternType="solid">
        <fgColor rgb="FFFFF2CC"/>
      </patternFill>
    </fill>
    <fill>
      <patternFill patternType="solid">
        <fgColor rgb="FFE7E6E6"/>
      </patternFill>
    </fill>
    <fill>
      <patternFill patternType="solid">
        <fgColor rgb="FFDDEBF7"/>
      </patternFill>
    </fill>
    <fill>
      <patternFill patternType="solid">
        <fgColor rgb="FFE2F0D9"/>
      </patternFill>
    </fill>
    <fill>
      <patternFill patternType="solid">
        <fgColor rgb="FFEAF3F8"/>
      </patternFill>
    </fill>
  </fills>
  <borders count="3">
    <border>
      <left/>
      <right/>
      <top/>
      <bottom/>
      <diagonal/>
    </border>
    <border>
      <left/>
      <right/>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9" fontId="8" fillId="0" borderId="0" applyFont="0" applyFill="0" applyBorder="0" applyAlignment="0" applyProtection="0"/>
  </cellStyleXfs>
  <cellXfs count="34">
    <xf numFmtId="0" fontId="0" fillId="0" borderId="0" xfId="0"/>
    <xf numFmtId="0" fontId="2" fillId="2" borderId="0" xfId="0" applyFont="1" applyFill="1"/>
    <xf numFmtId="0" fontId="3" fillId="0" borderId="0" xfId="0" applyFont="1"/>
    <xf numFmtId="0" fontId="5" fillId="4" borderId="0" xfId="0" applyFont="1" applyFill="1" applyAlignment="1">
      <alignment horizontal="center" wrapText="1"/>
    </xf>
    <xf numFmtId="164" fontId="6" fillId="5" borderId="0" xfId="0" applyNumberFormat="1" applyFont="1" applyFill="1"/>
    <xf numFmtId="0" fontId="3" fillId="0" borderId="0" xfId="0" applyFont="1" applyAlignment="1">
      <alignment wrapText="1"/>
    </xf>
    <xf numFmtId="2" fontId="6" fillId="5" borderId="0" xfId="0" applyNumberFormat="1" applyFont="1" applyFill="1"/>
    <xf numFmtId="165" fontId="6" fillId="5" borderId="0" xfId="0" applyNumberFormat="1" applyFont="1" applyFill="1"/>
    <xf numFmtId="166" fontId="6" fillId="5" borderId="0" xfId="0" applyNumberFormat="1" applyFont="1" applyFill="1"/>
    <xf numFmtId="0" fontId="6" fillId="5" borderId="0" xfId="0" applyFont="1" applyFill="1"/>
    <xf numFmtId="0" fontId="5" fillId="4" borderId="0" xfId="0" applyFont="1" applyFill="1" applyAlignment="1">
      <alignment horizontal="center"/>
    </xf>
    <xf numFmtId="165" fontId="7" fillId="6" borderId="0" xfId="0" applyNumberFormat="1" applyFont="1" applyFill="1"/>
    <xf numFmtId="166" fontId="3" fillId="0" borderId="0" xfId="0" applyNumberFormat="1" applyFont="1"/>
    <xf numFmtId="0" fontId="3" fillId="7" borderId="0" xfId="0" applyFont="1" applyFill="1"/>
    <xf numFmtId="165" fontId="3" fillId="7" borderId="0" xfId="0" applyNumberFormat="1" applyFont="1" applyFill="1"/>
    <xf numFmtId="0" fontId="3" fillId="7" borderId="0" xfId="0" applyFont="1" applyFill="1" applyAlignment="1">
      <alignment wrapText="1"/>
    </xf>
    <xf numFmtId="0" fontId="5" fillId="6" borderId="1" xfId="0" applyFont="1" applyFill="1" applyBorder="1"/>
    <xf numFmtId="165" fontId="5" fillId="6" borderId="1" xfId="0" applyNumberFormat="1" applyFont="1" applyFill="1" applyBorder="1"/>
    <xf numFmtId="0" fontId="5" fillId="6" borderId="1" xfId="0" applyFont="1" applyFill="1" applyBorder="1" applyAlignment="1">
      <alignment wrapText="1"/>
    </xf>
    <xf numFmtId="166" fontId="5" fillId="6" borderId="1" xfId="0" applyNumberFormat="1" applyFont="1" applyFill="1" applyBorder="1"/>
    <xf numFmtId="164" fontId="7" fillId="6" borderId="0" xfId="0" applyNumberFormat="1" applyFont="1" applyFill="1"/>
    <xf numFmtId="2" fontId="7" fillId="6" borderId="0" xfId="0" applyNumberFormat="1" applyFont="1" applyFill="1"/>
    <xf numFmtId="166" fontId="7" fillId="6" borderId="0" xfId="0" applyNumberFormat="1" applyFont="1" applyFill="1"/>
    <xf numFmtId="49" fontId="7" fillId="6" borderId="0" xfId="0" applyNumberFormat="1" applyFont="1" applyFill="1"/>
    <xf numFmtId="0" fontId="4" fillId="3" borderId="0" xfId="0" applyFont="1" applyFill="1" applyAlignment="1">
      <alignment wrapText="1"/>
    </xf>
    <xf numFmtId="0" fontId="2" fillId="2" borderId="0" xfId="0" applyFont="1" applyFill="1"/>
    <xf numFmtId="9" fontId="7" fillId="6" borderId="0" xfId="1" applyFont="1" applyFill="1"/>
    <xf numFmtId="0" fontId="9" fillId="0" borderId="0" xfId="0" applyFont="1"/>
    <xf numFmtId="0" fontId="10" fillId="3" borderId="0" xfId="0" applyFont="1" applyFill="1" applyAlignment="1">
      <alignment wrapText="1"/>
    </xf>
    <xf numFmtId="165" fontId="7" fillId="6" borderId="2" xfId="0" applyNumberFormat="1" applyFont="1" applyFill="1" applyBorder="1"/>
    <xf numFmtId="165" fontId="5" fillId="6" borderId="2" xfId="0" applyNumberFormat="1" applyFont="1" applyFill="1" applyBorder="1"/>
    <xf numFmtId="49" fontId="5" fillId="6" borderId="1" xfId="0" applyNumberFormat="1" applyFont="1" applyFill="1" applyBorder="1" applyAlignment="1">
      <alignment horizontal="right"/>
    </xf>
    <xf numFmtId="0" fontId="1" fillId="2" borderId="0" xfId="0" applyFont="1" applyFill="1" applyAlignment="1"/>
    <xf numFmtId="0" fontId="11" fillId="2" borderId="0" xfId="0" applyFont="1" applyFill="1" applyAlignment="1">
      <alignment horizontal="left" indent="5"/>
    </xf>
  </cellXfs>
  <cellStyles count="2">
    <cellStyle name="Normal" xfId="0" builtinId="0"/>
    <cellStyle name="Percent" xfId="1" builtinId="5"/>
  </cellStyles>
  <dxfs count="2">
    <dxf>
      <font>
        <b/>
        <color rgb="FF274E13"/>
      </font>
      <fill>
        <patternFill patternType="solid">
          <bgColor rgb="FFE2F0D9"/>
        </patternFill>
      </fill>
    </dxf>
    <dxf>
      <font>
        <b/>
        <color rgb="FF9C0006"/>
      </font>
      <fill>
        <patternFill patternType="solid">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2"/>
  <sheetViews>
    <sheetView tabSelected="1" workbookViewId="0"/>
  </sheetViews>
  <sheetFormatPr defaultRowHeight="14.25"/>
  <cols>
    <col min="1" max="1" width="38" customWidth="1"/>
    <col min="2" max="3" width="18" customWidth="1"/>
    <col min="4" max="4" width="28" customWidth="1"/>
    <col min="5" max="5" width="34" customWidth="1"/>
    <col min="6" max="6" width="46" customWidth="1"/>
    <col min="8" max="9" width="18" customWidth="1"/>
    <col min="10" max="42" width="16" customWidth="1"/>
  </cols>
  <sheetData>
    <row r="1" spans="1:42" ht="32.1" customHeight="1">
      <c r="A1" s="32" t="s">
        <v>0</v>
      </c>
      <c r="B1" s="32"/>
      <c r="C1" s="32"/>
      <c r="D1" s="32"/>
      <c r="E1" s="32"/>
      <c r="F1" s="33" t="s">
        <v>278</v>
      </c>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row>
    <row r="2" spans="1:42" ht="15">
      <c r="A2" s="28" t="s">
        <v>277</v>
      </c>
      <c r="B2" s="24"/>
      <c r="C2" s="24"/>
      <c r="D2" s="24"/>
      <c r="E2" s="24"/>
      <c r="F2" s="24"/>
      <c r="G2" s="2"/>
      <c r="H2" s="2"/>
      <c r="I2" t="s">
        <v>276</v>
      </c>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row>
    <row r="3" spans="1:42" ht="15">
      <c r="A3" s="24"/>
      <c r="B3" s="24"/>
      <c r="C3" s="24"/>
      <c r="D3" s="24"/>
      <c r="E3" s="24"/>
      <c r="F3" s="24"/>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row>
    <row r="4" spans="1:42" ht="15">
      <c r="A4" s="27" t="s">
        <v>275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1:42" ht="15">
      <c r="A5" s="25" t="s">
        <v>1</v>
      </c>
      <c r="B5" s="25"/>
      <c r="C5" s="25"/>
      <c r="D5" s="25"/>
      <c r="E5" s="25"/>
      <c r="F5" s="25"/>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row>
    <row r="6" spans="1:42" ht="15">
      <c r="A6" s="3" t="s">
        <v>2</v>
      </c>
      <c r="B6" s="3" t="s">
        <v>3</v>
      </c>
      <c r="C6" s="3" t="s">
        <v>4</v>
      </c>
      <c r="D6" s="3" t="s">
        <v>5</v>
      </c>
      <c r="E6" s="3" t="s">
        <v>6</v>
      </c>
      <c r="F6" s="3" t="s">
        <v>7</v>
      </c>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row>
    <row r="7" spans="1:42" ht="15">
      <c r="A7" s="2" t="s">
        <v>8</v>
      </c>
      <c r="B7" s="4">
        <v>46204</v>
      </c>
      <c r="C7" s="2" t="s">
        <v>9</v>
      </c>
      <c r="D7" s="5" t="s">
        <v>10</v>
      </c>
      <c r="E7" s="5" t="s">
        <v>11</v>
      </c>
      <c r="F7" s="5" t="s">
        <v>12</v>
      </c>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row>
    <row r="8" spans="1:42" ht="15">
      <c r="A8" s="2" t="s">
        <v>13</v>
      </c>
      <c r="B8" s="6">
        <v>157</v>
      </c>
      <c r="C8" s="2" t="s">
        <v>14</v>
      </c>
      <c r="D8" s="5" t="s">
        <v>15</v>
      </c>
      <c r="E8" s="5" t="s">
        <v>16</v>
      </c>
      <c r="F8" s="5" t="s">
        <v>12</v>
      </c>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row>
    <row r="9" spans="1:42" ht="15">
      <c r="A9" s="2" t="s">
        <v>17</v>
      </c>
      <c r="B9" s="7">
        <v>100</v>
      </c>
      <c r="C9" s="2" t="s">
        <v>18</v>
      </c>
      <c r="D9" s="5" t="s">
        <v>19</v>
      </c>
      <c r="E9" s="5" t="s">
        <v>20</v>
      </c>
      <c r="F9" s="5" t="s">
        <v>21</v>
      </c>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row>
    <row r="10" spans="1:42" ht="27">
      <c r="A10" s="2" t="s">
        <v>22</v>
      </c>
      <c r="B10" s="7">
        <v>50</v>
      </c>
      <c r="C10" s="2" t="s">
        <v>18</v>
      </c>
      <c r="D10" s="5" t="s">
        <v>23</v>
      </c>
      <c r="E10" s="5" t="s">
        <v>24</v>
      </c>
      <c r="F10" s="5" t="s">
        <v>25</v>
      </c>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row>
    <row r="11" spans="1:42" ht="27">
      <c r="A11" s="2" t="s">
        <v>26</v>
      </c>
      <c r="B11" s="7">
        <v>15700</v>
      </c>
      <c r="C11" s="2" t="s">
        <v>27</v>
      </c>
      <c r="D11" s="5" t="s">
        <v>28</v>
      </c>
      <c r="E11" s="5" t="s">
        <v>29</v>
      </c>
      <c r="F11" s="5" t="s">
        <v>12</v>
      </c>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row>
    <row r="12" spans="1:42" ht="27">
      <c r="A12" s="2" t="s">
        <v>30</v>
      </c>
      <c r="B12" s="7">
        <v>0</v>
      </c>
      <c r="C12" s="2" t="s">
        <v>27</v>
      </c>
      <c r="D12" s="5" t="s">
        <v>31</v>
      </c>
      <c r="E12" s="5" t="s">
        <v>32</v>
      </c>
      <c r="F12" s="5" t="s">
        <v>33</v>
      </c>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row>
    <row r="13" spans="1:42" ht="27">
      <c r="A13" s="2" t="s">
        <v>34</v>
      </c>
      <c r="B13" s="7">
        <v>0</v>
      </c>
      <c r="C13" s="2" t="s">
        <v>27</v>
      </c>
      <c r="D13" s="5" t="s">
        <v>35</v>
      </c>
      <c r="E13" s="5" t="s">
        <v>36</v>
      </c>
      <c r="F13" s="5" t="s">
        <v>12</v>
      </c>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row>
    <row r="14" spans="1:42" ht="15">
      <c r="A14" s="2" t="s">
        <v>37</v>
      </c>
      <c r="B14" s="7">
        <v>0</v>
      </c>
      <c r="C14" s="2" t="s">
        <v>27</v>
      </c>
      <c r="D14" s="5" t="s">
        <v>38</v>
      </c>
      <c r="E14" s="5" t="s">
        <v>36</v>
      </c>
      <c r="F14" s="5" t="s">
        <v>12</v>
      </c>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row>
    <row r="15" spans="1:42" ht="27">
      <c r="A15" s="2" t="s">
        <v>39</v>
      </c>
      <c r="B15" s="7">
        <v>0</v>
      </c>
      <c r="C15" s="2" t="s">
        <v>27</v>
      </c>
      <c r="D15" s="5" t="s">
        <v>40</v>
      </c>
      <c r="E15" s="5" t="s">
        <v>41</v>
      </c>
      <c r="F15" s="5" t="s">
        <v>42</v>
      </c>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row>
    <row r="16" spans="1:42" ht="27">
      <c r="A16" s="2" t="s">
        <v>43</v>
      </c>
      <c r="B16" s="8">
        <v>0</v>
      </c>
      <c r="C16" s="2" t="s">
        <v>44</v>
      </c>
      <c r="D16" s="5" t="s">
        <v>45</v>
      </c>
      <c r="E16" s="5" t="s">
        <v>46</v>
      </c>
      <c r="F16" s="5" t="s">
        <v>42</v>
      </c>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row>
    <row r="17" spans="1:42" ht="15">
      <c r="A17" s="2" t="s">
        <v>47</v>
      </c>
      <c r="B17" s="7">
        <v>0</v>
      </c>
      <c r="C17" s="2" t="s">
        <v>27</v>
      </c>
      <c r="D17" s="5" t="s">
        <v>48</v>
      </c>
      <c r="E17" s="5" t="s">
        <v>49</v>
      </c>
      <c r="F17" s="5" t="s">
        <v>50</v>
      </c>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row>
    <row r="18" spans="1:42" ht="27">
      <c r="A18" s="2" t="s">
        <v>51</v>
      </c>
      <c r="B18" s="7">
        <v>0</v>
      </c>
      <c r="C18" s="2" t="s">
        <v>27</v>
      </c>
      <c r="D18" s="5" t="s">
        <v>52</v>
      </c>
      <c r="E18" s="5" t="s">
        <v>53</v>
      </c>
      <c r="F18" s="5" t="s">
        <v>54</v>
      </c>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row>
    <row r="19" spans="1:42" ht="15">
      <c r="A19" s="2" t="s">
        <v>55</v>
      </c>
      <c r="B19" s="9" t="s">
        <v>56</v>
      </c>
      <c r="C19" s="2" t="s">
        <v>57</v>
      </c>
      <c r="D19" s="5" t="s">
        <v>58</v>
      </c>
      <c r="E19" s="5" t="s">
        <v>59</v>
      </c>
      <c r="F19" s="5" t="s">
        <v>12</v>
      </c>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row>
    <row r="20" spans="1:42" ht="1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row>
    <row r="21" spans="1:42" ht="15">
      <c r="A21" s="10" t="s">
        <v>60</v>
      </c>
      <c r="B21" s="10" t="s">
        <v>61</v>
      </c>
      <c r="C21" s="10" t="s">
        <v>4</v>
      </c>
      <c r="D21" s="10" t="s">
        <v>62</v>
      </c>
      <c r="E21" s="10" t="s">
        <v>63</v>
      </c>
      <c r="F21" s="10" t="s">
        <v>64</v>
      </c>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row>
    <row r="22" spans="1:42" ht="27">
      <c r="A22" s="2" t="s">
        <v>65</v>
      </c>
      <c r="B22" s="11">
        <f>B8*B9</f>
        <v>15700</v>
      </c>
      <c r="C22" s="2" t="s">
        <v>27</v>
      </c>
      <c r="D22" s="5" t="s">
        <v>66</v>
      </c>
      <c r="E22" s="5" t="s">
        <v>67</v>
      </c>
      <c r="F22" s="5" t="s">
        <v>68</v>
      </c>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row>
    <row r="23" spans="1:42" ht="27">
      <c r="A23" s="2" t="s">
        <v>69</v>
      </c>
      <c r="B23" s="11">
        <f>B11-B22</f>
        <v>0</v>
      </c>
      <c r="C23" s="2" t="s">
        <v>27</v>
      </c>
      <c r="D23" s="5" t="s">
        <v>70</v>
      </c>
      <c r="E23" s="5" t="s">
        <v>71</v>
      </c>
      <c r="F23" s="5" t="s">
        <v>72</v>
      </c>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row>
    <row r="24" spans="1:42" ht="1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row>
    <row r="25" spans="1:42" ht="15">
      <c r="A25" s="25" t="s">
        <v>73</v>
      </c>
      <c r="B25" s="25"/>
      <c r="C25" s="25"/>
      <c r="D25" s="25"/>
      <c r="E25" s="25"/>
      <c r="F25" s="25"/>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row>
    <row r="26" spans="1:42" ht="15">
      <c r="A26" s="3" t="s">
        <v>74</v>
      </c>
      <c r="B26" s="3" t="s">
        <v>3</v>
      </c>
      <c r="C26" s="3" t="s">
        <v>4</v>
      </c>
      <c r="D26" s="3" t="s">
        <v>75</v>
      </c>
      <c r="E26" s="3" t="s">
        <v>76</v>
      </c>
      <c r="F26" s="3" t="s">
        <v>7</v>
      </c>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row>
    <row r="27" spans="1:42" ht="15">
      <c r="A27" s="2" t="s">
        <v>77</v>
      </c>
      <c r="B27" s="8">
        <v>0.24</v>
      </c>
      <c r="C27" s="2" t="s">
        <v>44</v>
      </c>
      <c r="D27" s="5" t="s">
        <v>78</v>
      </c>
      <c r="E27" s="5" t="s">
        <v>79</v>
      </c>
      <c r="F27" s="5" t="s">
        <v>80</v>
      </c>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row>
    <row r="28" spans="1:42" ht="15">
      <c r="A28" s="2" t="s">
        <v>81</v>
      </c>
      <c r="B28" s="8">
        <v>6.2E-2</v>
      </c>
      <c r="C28" s="2" t="s">
        <v>44</v>
      </c>
      <c r="D28" s="5" t="s">
        <v>78</v>
      </c>
      <c r="E28" s="5" t="s">
        <v>82</v>
      </c>
      <c r="F28" s="5" t="s">
        <v>83</v>
      </c>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row>
    <row r="29" spans="1:42" ht="15">
      <c r="A29" s="2" t="s">
        <v>84</v>
      </c>
      <c r="B29" s="8">
        <v>6.2E-2</v>
      </c>
      <c r="C29" s="2" t="s">
        <v>44</v>
      </c>
      <c r="D29" s="5" t="s">
        <v>85</v>
      </c>
      <c r="E29" s="5" t="s">
        <v>86</v>
      </c>
      <c r="F29" s="5" t="s">
        <v>83</v>
      </c>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row>
    <row r="30" spans="1:42" ht="15">
      <c r="A30" s="2" t="s">
        <v>87</v>
      </c>
      <c r="B30" s="7">
        <v>184500</v>
      </c>
      <c r="C30" s="2" t="s">
        <v>88</v>
      </c>
      <c r="D30" s="5" t="s">
        <v>89</v>
      </c>
      <c r="E30" s="5" t="s">
        <v>90</v>
      </c>
      <c r="F30" s="5" t="s">
        <v>91</v>
      </c>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row>
    <row r="31" spans="1:42" ht="15">
      <c r="A31" s="2" t="s">
        <v>92</v>
      </c>
      <c r="B31" s="8">
        <v>1.4500000000000001E-2</v>
      </c>
      <c r="C31" s="2" t="s">
        <v>44</v>
      </c>
      <c r="D31" s="5" t="s">
        <v>78</v>
      </c>
      <c r="E31" s="5" t="s">
        <v>93</v>
      </c>
      <c r="F31" s="5" t="s">
        <v>83</v>
      </c>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row>
    <row r="32" spans="1:42" ht="15">
      <c r="A32" s="2" t="s">
        <v>94</v>
      </c>
      <c r="B32" s="8">
        <v>1.4500000000000001E-2</v>
      </c>
      <c r="C32" s="2" t="s">
        <v>44</v>
      </c>
      <c r="D32" s="5" t="s">
        <v>85</v>
      </c>
      <c r="E32" s="5" t="s">
        <v>95</v>
      </c>
      <c r="F32" s="5" t="s">
        <v>83</v>
      </c>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row>
    <row r="33" spans="1:42" ht="27">
      <c r="A33" s="2" t="s">
        <v>96</v>
      </c>
      <c r="B33" s="8">
        <v>8.9999999999999993E-3</v>
      </c>
      <c r="C33" s="2" t="s">
        <v>44</v>
      </c>
      <c r="D33" s="5" t="s">
        <v>78</v>
      </c>
      <c r="E33" s="5" t="s">
        <v>97</v>
      </c>
      <c r="F33" s="5" t="s">
        <v>98</v>
      </c>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row>
    <row r="34" spans="1:42" ht="15">
      <c r="A34" s="2" t="s">
        <v>99</v>
      </c>
      <c r="B34" s="7">
        <v>200000</v>
      </c>
      <c r="C34" s="2" t="s">
        <v>88</v>
      </c>
      <c r="D34" s="5" t="s">
        <v>78</v>
      </c>
      <c r="E34" s="5" t="s">
        <v>100</v>
      </c>
      <c r="F34" s="5" t="s">
        <v>98</v>
      </c>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row>
    <row r="35" spans="1:42" ht="15">
      <c r="A35" s="2" t="s">
        <v>274</v>
      </c>
      <c r="B35" s="8">
        <v>0.06</v>
      </c>
      <c r="C35" s="2" t="s">
        <v>44</v>
      </c>
      <c r="D35" s="5" t="s">
        <v>78</v>
      </c>
      <c r="E35" s="5" t="s">
        <v>101</v>
      </c>
      <c r="F35" s="5" t="s">
        <v>102</v>
      </c>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row>
    <row r="36" spans="1:42" ht="15">
      <c r="A36" s="2" t="s">
        <v>103</v>
      </c>
      <c r="B36" s="8">
        <v>0</v>
      </c>
      <c r="C36" s="2" t="s">
        <v>44</v>
      </c>
      <c r="D36" s="5" t="s">
        <v>78</v>
      </c>
      <c r="E36" s="5" t="s">
        <v>104</v>
      </c>
      <c r="F36" s="5" t="s">
        <v>105</v>
      </c>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row>
    <row r="37" spans="1:42" ht="15">
      <c r="A37" s="2" t="s">
        <v>106</v>
      </c>
      <c r="B37" s="8">
        <v>6.9999999999999999E-4</v>
      </c>
      <c r="C37" s="2" t="s">
        <v>44</v>
      </c>
      <c r="D37" s="5" t="s">
        <v>78</v>
      </c>
      <c r="E37" s="5" t="s">
        <v>107</v>
      </c>
      <c r="F37" s="5" t="s">
        <v>105</v>
      </c>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row>
    <row r="38" spans="1:42" ht="15">
      <c r="A38" s="2" t="s">
        <v>108</v>
      </c>
      <c r="B38" s="8">
        <v>6.5000000000000002E-2</v>
      </c>
      <c r="C38" s="2" t="s">
        <v>44</v>
      </c>
      <c r="D38" s="5" t="s">
        <v>85</v>
      </c>
      <c r="E38" s="5" t="s">
        <v>109</v>
      </c>
      <c r="F38" s="5" t="s">
        <v>110</v>
      </c>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row>
    <row r="39" spans="1:42" ht="15">
      <c r="A39" s="2" t="s">
        <v>111</v>
      </c>
      <c r="B39" s="7">
        <v>10000</v>
      </c>
      <c r="C39" s="2" t="s">
        <v>88</v>
      </c>
      <c r="D39" s="5" t="s">
        <v>89</v>
      </c>
      <c r="E39" s="5" t="s">
        <v>112</v>
      </c>
      <c r="F39" s="5" t="s">
        <v>113</v>
      </c>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row>
    <row r="40" spans="1:42" ht="15">
      <c r="A40" s="2" t="s">
        <v>114</v>
      </c>
      <c r="B40" s="8">
        <v>0</v>
      </c>
      <c r="C40" s="2" t="s">
        <v>44</v>
      </c>
      <c r="D40" s="5" t="s">
        <v>78</v>
      </c>
      <c r="E40" s="5" t="s">
        <v>115</v>
      </c>
      <c r="F40" s="5" t="s">
        <v>105</v>
      </c>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row>
    <row r="41" spans="1:42" ht="15">
      <c r="A41" s="2" t="s">
        <v>116</v>
      </c>
      <c r="B41" s="8">
        <v>0</v>
      </c>
      <c r="C41" s="2" t="s">
        <v>44</v>
      </c>
      <c r="D41" s="5" t="s">
        <v>85</v>
      </c>
      <c r="E41" s="5" t="s">
        <v>117</v>
      </c>
      <c r="F41" s="5" t="s">
        <v>105</v>
      </c>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row>
    <row r="42" spans="1:42" ht="15">
      <c r="A42" s="2" t="s">
        <v>118</v>
      </c>
      <c r="B42" s="8">
        <v>0</v>
      </c>
      <c r="C42" s="2" t="s">
        <v>44</v>
      </c>
      <c r="D42" s="5" t="s">
        <v>85</v>
      </c>
      <c r="E42" s="5" t="s">
        <v>119</v>
      </c>
      <c r="F42" s="5" t="s">
        <v>105</v>
      </c>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row>
    <row r="43" spans="1:42" ht="15">
      <c r="A43" s="2" t="s">
        <v>120</v>
      </c>
      <c r="B43" s="8">
        <v>6.0000000000000001E-3</v>
      </c>
      <c r="C43" s="2" t="s">
        <v>44</v>
      </c>
      <c r="D43" s="5" t="s">
        <v>85</v>
      </c>
      <c r="E43" s="5" t="s">
        <v>121</v>
      </c>
      <c r="F43" s="5" t="s">
        <v>122</v>
      </c>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row>
    <row r="44" spans="1:42" ht="15">
      <c r="A44" s="2" t="s">
        <v>123</v>
      </c>
      <c r="B44" s="7">
        <v>7000</v>
      </c>
      <c r="C44" s="2" t="s">
        <v>88</v>
      </c>
      <c r="D44" s="5" t="s">
        <v>85</v>
      </c>
      <c r="E44" s="5" t="s">
        <v>124</v>
      </c>
      <c r="F44" s="5" t="s">
        <v>125</v>
      </c>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row>
    <row r="45" spans="1:42" ht="15">
      <c r="A45" s="2" t="s">
        <v>126</v>
      </c>
      <c r="B45" s="7">
        <v>72000</v>
      </c>
      <c r="C45" s="2" t="s">
        <v>127</v>
      </c>
      <c r="D45" s="5" t="s">
        <v>85</v>
      </c>
      <c r="E45" s="5" t="s">
        <v>128</v>
      </c>
      <c r="F45" s="5" t="s">
        <v>129</v>
      </c>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row>
    <row r="46" spans="1:42" ht="1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row>
    <row r="47" spans="1:42" ht="15">
      <c r="A47" s="25" t="s">
        <v>130</v>
      </c>
      <c r="B47" s="25"/>
      <c r="C47" s="25"/>
      <c r="D47" s="25"/>
      <c r="E47" s="25"/>
      <c r="F47" s="25"/>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row>
    <row r="48" spans="1:42" ht="15">
      <c r="A48" s="3" t="s">
        <v>131</v>
      </c>
      <c r="B48" s="3" t="s">
        <v>132</v>
      </c>
      <c r="C48" s="3" t="s">
        <v>133</v>
      </c>
      <c r="D48" s="3" t="s">
        <v>134</v>
      </c>
      <c r="E48" s="3" t="s">
        <v>135</v>
      </c>
      <c r="F48" s="3" t="s">
        <v>64</v>
      </c>
      <c r="G48" s="2"/>
      <c r="H48" s="1" t="s">
        <v>136</v>
      </c>
      <c r="I48" s="1" t="s">
        <v>137</v>
      </c>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row>
    <row r="49" spans="1:42" ht="15">
      <c r="A49" s="2" t="s">
        <v>65</v>
      </c>
      <c r="B49" s="11">
        <f>B8*B9</f>
        <v>15700</v>
      </c>
      <c r="C49" s="2" t="s">
        <v>138</v>
      </c>
      <c r="D49" s="5" t="s">
        <v>139</v>
      </c>
      <c r="E49" s="5" t="s">
        <v>140</v>
      </c>
      <c r="F49" s="5"/>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row>
    <row r="50" spans="1:42" ht="15">
      <c r="A50" s="2" t="s">
        <v>141</v>
      </c>
      <c r="B50" s="11">
        <f>B8*B10</f>
        <v>7850</v>
      </c>
      <c r="C50" s="2" t="s">
        <v>142</v>
      </c>
      <c r="D50" s="5" t="s">
        <v>143</v>
      </c>
      <c r="E50" s="5" t="s">
        <v>144</v>
      </c>
      <c r="F50" s="5"/>
      <c r="G50" s="2"/>
      <c r="H50" s="12">
        <v>-100</v>
      </c>
      <c r="I50" s="2" t="s">
        <v>145</v>
      </c>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row>
    <row r="51" spans="1:42" ht="15">
      <c r="A51" s="2" t="s">
        <v>146</v>
      </c>
      <c r="B51" s="11">
        <f>B50*B27</f>
        <v>1884</v>
      </c>
      <c r="C51" s="2" t="s">
        <v>147</v>
      </c>
      <c r="D51" s="5" t="s">
        <v>148</v>
      </c>
      <c r="E51" s="5" t="s">
        <v>149</v>
      </c>
      <c r="F51" s="5"/>
      <c r="G51" s="2"/>
      <c r="H51" s="12">
        <v>0</v>
      </c>
      <c r="I51" s="2" t="s">
        <v>150</v>
      </c>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row>
    <row r="52" spans="1:42" ht="15">
      <c r="A52" s="2" t="s">
        <v>151</v>
      </c>
      <c r="B52" s="11">
        <f>MIN(B50,MAX(0,B30-B17))*B28</f>
        <v>486.7</v>
      </c>
      <c r="C52" s="2" t="s">
        <v>147</v>
      </c>
      <c r="D52" s="5" t="s">
        <v>148</v>
      </c>
      <c r="E52" s="5" t="s">
        <v>152</v>
      </c>
      <c r="F52" s="5"/>
      <c r="G52" s="2"/>
      <c r="H52" s="12">
        <v>0.05</v>
      </c>
      <c r="I52" s="2" t="s">
        <v>153</v>
      </c>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row>
    <row r="53" spans="1:42" ht="15">
      <c r="A53" s="2" t="s">
        <v>154</v>
      </c>
      <c r="B53" s="11">
        <f>B50*B31</f>
        <v>113.825</v>
      </c>
      <c r="C53" s="2" t="s">
        <v>147</v>
      </c>
      <c r="D53" s="5" t="s">
        <v>148</v>
      </c>
      <c r="E53" s="5" t="s">
        <v>155</v>
      </c>
      <c r="F53" s="5"/>
      <c r="G53" s="2"/>
      <c r="H53" s="12">
        <v>0.1</v>
      </c>
      <c r="I53" s="2" t="s">
        <v>156</v>
      </c>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row>
    <row r="54" spans="1:42" ht="15">
      <c r="A54" s="2" t="s">
        <v>157</v>
      </c>
      <c r="B54" s="11">
        <f>MAX(0,B17+B50-B34)*B33-MAX(0,B17-B34)*B33</f>
        <v>0</v>
      </c>
      <c r="C54" s="2" t="s">
        <v>147</v>
      </c>
      <c r="D54" s="5" t="s">
        <v>148</v>
      </c>
      <c r="E54" s="5" t="s">
        <v>158</v>
      </c>
      <c r="F54" s="5"/>
      <c r="G54" s="2"/>
      <c r="H54" s="12">
        <v>0.15</v>
      </c>
      <c r="I54" s="2" t="s">
        <v>159</v>
      </c>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row>
    <row r="55" spans="1:42" ht="15">
      <c r="A55" s="2" t="s">
        <v>160</v>
      </c>
      <c r="B55" s="11">
        <f>B50*B35</f>
        <v>471</v>
      </c>
      <c r="C55" s="2" t="s">
        <v>147</v>
      </c>
      <c r="D55" s="5" t="s">
        <v>161</v>
      </c>
      <c r="E55" s="5" t="s">
        <v>162</v>
      </c>
      <c r="F55" s="5"/>
      <c r="G55" s="2"/>
      <c r="H55" s="12">
        <v>1</v>
      </c>
      <c r="I55" s="2" t="s">
        <v>163</v>
      </c>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row>
    <row r="56" spans="1:42" ht="15">
      <c r="A56" s="2" t="s">
        <v>164</v>
      </c>
      <c r="B56" s="11">
        <f>B50*B36</f>
        <v>0</v>
      </c>
      <c r="C56" s="2" t="s">
        <v>147</v>
      </c>
      <c r="D56" s="5" t="s">
        <v>165</v>
      </c>
      <c r="E56" s="5" t="s">
        <v>166</v>
      </c>
      <c r="F56" s="5"/>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row>
    <row r="57" spans="1:42" ht="15">
      <c r="A57" s="2" t="s">
        <v>167</v>
      </c>
      <c r="B57" s="11">
        <f>MIN(B50,MAX(0,B39-B17))*B37</f>
        <v>5.4950000000000001</v>
      </c>
      <c r="C57" s="2" t="s">
        <v>147</v>
      </c>
      <c r="D57" s="5" t="s">
        <v>168</v>
      </c>
      <c r="E57" s="5" t="s">
        <v>169</v>
      </c>
      <c r="F57" s="5"/>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row>
    <row r="58" spans="1:42" ht="15">
      <c r="A58" s="2" t="s">
        <v>170</v>
      </c>
      <c r="B58" s="11">
        <f>B50*B40</f>
        <v>0</v>
      </c>
      <c r="C58" s="2" t="s">
        <v>147</v>
      </c>
      <c r="D58" s="5" t="s">
        <v>171</v>
      </c>
      <c r="E58" s="5" t="s">
        <v>172</v>
      </c>
      <c r="F58" s="5"/>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row>
    <row r="59" spans="1:42" ht="15.75" thickBot="1">
      <c r="A59" s="2" t="s">
        <v>173</v>
      </c>
      <c r="B59" s="11">
        <f>SUM(B51:B58)</f>
        <v>2961.0199999999995</v>
      </c>
      <c r="C59" s="2" t="s">
        <v>174</v>
      </c>
      <c r="D59" s="5" t="s">
        <v>175</v>
      </c>
      <c r="E59" s="5" t="s">
        <v>176</v>
      </c>
      <c r="F59" s="5"/>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row>
    <row r="60" spans="1:42" ht="15.75" thickBot="1">
      <c r="A60" s="2" t="s">
        <v>177</v>
      </c>
      <c r="B60" s="29">
        <f>B50-B59</f>
        <v>4888.9800000000005</v>
      </c>
      <c r="C60" s="2" t="s">
        <v>178</v>
      </c>
      <c r="D60" s="5" t="s">
        <v>179</v>
      </c>
      <c r="E60" s="5" t="s">
        <v>180</v>
      </c>
      <c r="F60" s="5"/>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row>
    <row r="61" spans="1:42" ht="15">
      <c r="A61" s="25" t="s">
        <v>272</v>
      </c>
      <c r="B61" s="25"/>
      <c r="C61" s="25"/>
      <c r="D61" s="25"/>
      <c r="E61" s="25"/>
      <c r="F61" s="25"/>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row>
    <row r="62" spans="1:42" ht="15">
      <c r="A62" s="2" t="s">
        <v>181</v>
      </c>
      <c r="B62" s="11">
        <f>MIN(B50,MAX(0,B30-B17))*B29</f>
        <v>486.7</v>
      </c>
      <c r="C62" s="2" t="s">
        <v>182</v>
      </c>
      <c r="D62" s="5" t="s">
        <v>148</v>
      </c>
      <c r="E62" s="5" t="s">
        <v>152</v>
      </c>
      <c r="F62" s="5"/>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row>
    <row r="63" spans="1:42" ht="15">
      <c r="A63" s="2" t="s">
        <v>183</v>
      </c>
      <c r="B63" s="11">
        <f>B50*B32</f>
        <v>113.825</v>
      </c>
      <c r="C63" s="2" t="s">
        <v>182</v>
      </c>
      <c r="D63" s="5" t="s">
        <v>148</v>
      </c>
      <c r="E63" s="5" t="s">
        <v>155</v>
      </c>
      <c r="F63" s="5"/>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row>
    <row r="64" spans="1:42" ht="15">
      <c r="A64" s="2" t="s">
        <v>184</v>
      </c>
      <c r="B64" s="11">
        <f>MIN(B50,MAX(0,B39-B17))*B38</f>
        <v>510.25</v>
      </c>
      <c r="C64" s="2" t="s">
        <v>182</v>
      </c>
      <c r="D64" s="5" t="s">
        <v>168</v>
      </c>
      <c r="E64" s="5" t="s">
        <v>169</v>
      </c>
      <c r="F64" s="5"/>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row>
    <row r="65" spans="1:42" ht="15">
      <c r="A65" s="2" t="s">
        <v>185</v>
      </c>
      <c r="B65" s="11">
        <f>B50*B41</f>
        <v>0</v>
      </c>
      <c r="C65" s="2" t="s">
        <v>182</v>
      </c>
      <c r="D65" s="5" t="s">
        <v>171</v>
      </c>
      <c r="E65" s="5" t="s">
        <v>186</v>
      </c>
      <c r="F65" s="5"/>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row>
    <row r="66" spans="1:42" ht="15">
      <c r="A66" s="2" t="s">
        <v>187</v>
      </c>
      <c r="B66" s="11">
        <f>B50*B42</f>
        <v>0</v>
      </c>
      <c r="C66" s="2" t="s">
        <v>182</v>
      </c>
      <c r="D66" s="5" t="s">
        <v>188</v>
      </c>
      <c r="E66" s="5" t="s">
        <v>189</v>
      </c>
      <c r="F66" s="5"/>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row>
    <row r="67" spans="1:42" ht="15">
      <c r="A67" s="2" t="s">
        <v>190</v>
      </c>
      <c r="B67" s="11">
        <f>MIN(B50,MAX(0,B44-B17))*B43</f>
        <v>42</v>
      </c>
      <c r="C67" s="2" t="s">
        <v>182</v>
      </c>
      <c r="D67" s="5" t="s">
        <v>191</v>
      </c>
      <c r="E67" s="5" t="s">
        <v>192</v>
      </c>
      <c r="F67" s="5"/>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row>
    <row r="68" spans="1:42" ht="15">
      <c r="A68" s="2" t="s">
        <v>193</v>
      </c>
      <c r="B68" s="11">
        <f>MIN(B50*B16,MAX(0,B45-B18))</f>
        <v>0</v>
      </c>
      <c r="C68" s="2" t="s">
        <v>194</v>
      </c>
      <c r="D68" s="5" t="s">
        <v>195</v>
      </c>
      <c r="E68" s="5" t="s">
        <v>196</v>
      </c>
      <c r="F68" s="5"/>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row>
    <row r="69" spans="1:42" ht="27">
      <c r="A69" s="13" t="s">
        <v>197</v>
      </c>
      <c r="B69" s="14">
        <f>B51+B52+B53+B54+B62+B63</f>
        <v>3085.0499999999993</v>
      </c>
      <c r="C69" s="13" t="s">
        <v>198</v>
      </c>
      <c r="D69" s="15" t="s">
        <v>199</v>
      </c>
      <c r="E69" s="15" t="s">
        <v>200</v>
      </c>
      <c r="F69" s="15"/>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row>
    <row r="70" spans="1:42" ht="15">
      <c r="A70" s="13" t="s">
        <v>161</v>
      </c>
      <c r="B70" s="14">
        <f>B55</f>
        <v>471</v>
      </c>
      <c r="C70" s="13" t="s">
        <v>198</v>
      </c>
      <c r="D70" s="15" t="s">
        <v>199</v>
      </c>
      <c r="E70" s="15" t="s">
        <v>201</v>
      </c>
      <c r="F70" s="15"/>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row>
    <row r="71" spans="1:42" ht="15">
      <c r="A71" s="13" t="s">
        <v>165</v>
      </c>
      <c r="B71" s="14">
        <f>B56</f>
        <v>0</v>
      </c>
      <c r="C71" s="13" t="s">
        <v>198</v>
      </c>
      <c r="D71" s="15" t="s">
        <v>199</v>
      </c>
      <c r="E71" s="15" t="s">
        <v>202</v>
      </c>
      <c r="F71" s="15"/>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row>
    <row r="72" spans="1:42" ht="15">
      <c r="A72" s="13" t="s">
        <v>203</v>
      </c>
      <c r="B72" s="14">
        <f>B57+B64</f>
        <v>515.745</v>
      </c>
      <c r="C72" s="13" t="s">
        <v>198</v>
      </c>
      <c r="D72" s="15" t="s">
        <v>199</v>
      </c>
      <c r="E72" s="15" t="s">
        <v>204</v>
      </c>
      <c r="F72" s="15"/>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row>
    <row r="73" spans="1:42" ht="15">
      <c r="A73" s="13" t="s">
        <v>205</v>
      </c>
      <c r="B73" s="14">
        <f>B58+B65</f>
        <v>0</v>
      </c>
      <c r="C73" s="13" t="s">
        <v>198</v>
      </c>
      <c r="D73" s="15" t="s">
        <v>199</v>
      </c>
      <c r="E73" s="15" t="s">
        <v>206</v>
      </c>
      <c r="F73" s="15"/>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row>
    <row r="74" spans="1:42" ht="15">
      <c r="A74" s="13" t="s">
        <v>188</v>
      </c>
      <c r="B74" s="14">
        <f>B66</f>
        <v>0</v>
      </c>
      <c r="C74" s="13" t="s">
        <v>198</v>
      </c>
      <c r="D74" s="15" t="s">
        <v>199</v>
      </c>
      <c r="E74" s="15" t="s">
        <v>207</v>
      </c>
      <c r="F74" s="15"/>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row>
    <row r="75" spans="1:42" ht="15">
      <c r="A75" s="13" t="s">
        <v>191</v>
      </c>
      <c r="B75" s="14">
        <f>B67</f>
        <v>42</v>
      </c>
      <c r="C75" s="13" t="s">
        <v>208</v>
      </c>
      <c r="D75" s="15" t="s">
        <v>199</v>
      </c>
      <c r="E75" s="15" t="s">
        <v>209</v>
      </c>
      <c r="F75" s="15"/>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row>
    <row r="76" spans="1:42" ht="15">
      <c r="A76" s="13" t="s">
        <v>210</v>
      </c>
      <c r="B76" s="14">
        <f>B68</f>
        <v>0</v>
      </c>
      <c r="C76" s="13" t="s">
        <v>208</v>
      </c>
      <c r="D76" s="15" t="s">
        <v>199</v>
      </c>
      <c r="E76" s="15" t="s">
        <v>211</v>
      </c>
      <c r="F76" s="15"/>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row>
    <row r="77" spans="1:42" ht="15.75" thickBot="1">
      <c r="A77" s="25" t="s">
        <v>273</v>
      </c>
      <c r="B77" s="25"/>
      <c r="C77" s="25"/>
      <c r="D77" s="25"/>
      <c r="E77" s="25"/>
      <c r="F77" s="25"/>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row>
    <row r="78" spans="1:42" ht="15.75" thickBot="1">
      <c r="A78" s="16" t="s">
        <v>212</v>
      </c>
      <c r="B78" s="30">
        <f>B60+SUM(B69:B76)</f>
        <v>9002.7749999999996</v>
      </c>
      <c r="C78" s="16" t="s">
        <v>213</v>
      </c>
      <c r="D78" s="18" t="s">
        <v>214</v>
      </c>
      <c r="E78" s="18" t="s">
        <v>215</v>
      </c>
      <c r="F78" s="18"/>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row>
    <row r="79" spans="1:42" ht="27">
      <c r="A79" s="16" t="s">
        <v>216</v>
      </c>
      <c r="B79" s="17">
        <f>B12+B11-B78-B13-B14</f>
        <v>6697.2250000000004</v>
      </c>
      <c r="C79" s="16" t="s">
        <v>217</v>
      </c>
      <c r="D79" s="18" t="s">
        <v>218</v>
      </c>
      <c r="E79" s="18" t="s">
        <v>219</v>
      </c>
      <c r="F79" s="18"/>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row>
    <row r="80" spans="1:42" ht="15">
      <c r="A80" s="16" t="s">
        <v>220</v>
      </c>
      <c r="B80" s="17">
        <f>B79-B15</f>
        <v>6697.2250000000004</v>
      </c>
      <c r="C80" s="16" t="s">
        <v>217</v>
      </c>
      <c r="D80" s="18" t="s">
        <v>221</v>
      </c>
      <c r="E80" s="18" t="s">
        <v>222</v>
      </c>
      <c r="F80" s="18"/>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row>
    <row r="81" spans="1:42" ht="15">
      <c r="A81" s="16" t="s">
        <v>223</v>
      </c>
      <c r="B81" s="19">
        <f>IFERROR(B80/B11,-1)</f>
        <v>0.42657484076433122</v>
      </c>
      <c r="C81" s="16" t="s">
        <v>224</v>
      </c>
      <c r="D81" s="18" t="s">
        <v>225</v>
      </c>
      <c r="E81" s="18" t="s">
        <v>226</v>
      </c>
      <c r="F81" s="18"/>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row>
    <row r="82" spans="1:42" ht="15">
      <c r="A82" s="16" t="s">
        <v>227</v>
      </c>
      <c r="B82" s="31" t="str">
        <f>VLOOKUP(B81,$H$50:$I$55,2,TRUE)</f>
        <v>SAFE</v>
      </c>
      <c r="C82" s="16" t="s">
        <v>228</v>
      </c>
      <c r="D82" s="18" t="s">
        <v>225</v>
      </c>
      <c r="E82" s="18" t="s">
        <v>229</v>
      </c>
      <c r="F82" s="18"/>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row>
    <row r="83" spans="1:42" ht="1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row>
    <row r="84" spans="1:42" ht="1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row>
    <row r="85" spans="1:42">
      <c r="A85" s="25" t="s">
        <v>230</v>
      </c>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row>
    <row r="86" spans="1:42" ht="48" customHeight="1">
      <c r="A86" s="3" t="s">
        <v>231</v>
      </c>
      <c r="B86" s="3" t="s">
        <v>232</v>
      </c>
      <c r="C86" s="3" t="s">
        <v>233</v>
      </c>
      <c r="D86" s="3" t="s">
        <v>234</v>
      </c>
      <c r="E86" s="3" t="s">
        <v>235</v>
      </c>
      <c r="F86" s="3" t="s">
        <v>236</v>
      </c>
      <c r="G86" s="3" t="s">
        <v>237</v>
      </c>
      <c r="H86" s="3" t="s">
        <v>238</v>
      </c>
      <c r="I86" s="3" t="s">
        <v>239</v>
      </c>
      <c r="J86" s="3" t="s">
        <v>240</v>
      </c>
      <c r="K86" s="3" t="s">
        <v>241</v>
      </c>
      <c r="L86" s="3" t="s">
        <v>242</v>
      </c>
      <c r="M86" s="3" t="s">
        <v>243</v>
      </c>
      <c r="N86" s="3" t="s">
        <v>244</v>
      </c>
      <c r="O86" s="3" t="s">
        <v>245</v>
      </c>
      <c r="P86" s="3" t="s">
        <v>246</v>
      </c>
      <c r="Q86" s="3" t="s">
        <v>247</v>
      </c>
      <c r="R86" s="3" t="s">
        <v>248</v>
      </c>
      <c r="S86" s="3" t="s">
        <v>249</v>
      </c>
      <c r="T86" s="3" t="s">
        <v>250</v>
      </c>
      <c r="U86" s="3" t="s">
        <v>251</v>
      </c>
      <c r="V86" s="3" t="s">
        <v>252</v>
      </c>
      <c r="W86" s="3" t="s">
        <v>253</v>
      </c>
      <c r="X86" s="3" t="s">
        <v>254</v>
      </c>
      <c r="Y86" s="3" t="s">
        <v>255</v>
      </c>
      <c r="Z86" s="3" t="s">
        <v>256</v>
      </c>
      <c r="AA86" s="3" t="s">
        <v>257</v>
      </c>
      <c r="AB86" s="3" t="s">
        <v>258</v>
      </c>
      <c r="AC86" s="3" t="s">
        <v>259</v>
      </c>
      <c r="AD86" s="3" t="s">
        <v>260</v>
      </c>
      <c r="AE86" s="3" t="s">
        <v>261</v>
      </c>
      <c r="AF86" s="3" t="s">
        <v>262</v>
      </c>
      <c r="AG86" s="3" t="s">
        <v>263</v>
      </c>
      <c r="AH86" s="3" t="s">
        <v>264</v>
      </c>
      <c r="AI86" s="3" t="s">
        <v>265</v>
      </c>
      <c r="AJ86" s="3" t="s">
        <v>266</v>
      </c>
      <c r="AK86" s="3" t="s">
        <v>267</v>
      </c>
      <c r="AL86" s="3" t="s">
        <v>268</v>
      </c>
      <c r="AM86" s="3" t="s">
        <v>269</v>
      </c>
      <c r="AN86" s="3" t="s">
        <v>270</v>
      </c>
      <c r="AO86" s="3" t="s">
        <v>271</v>
      </c>
      <c r="AP86" s="3" t="s">
        <v>55</v>
      </c>
    </row>
    <row r="87" spans="1:42">
      <c r="A87" s="20">
        <f>B7</f>
        <v>46204</v>
      </c>
      <c r="B87" s="21">
        <f>B8</f>
        <v>157</v>
      </c>
      <c r="C87" s="11">
        <f>B9</f>
        <v>100</v>
      </c>
      <c r="D87" s="11">
        <f>B10</f>
        <v>50</v>
      </c>
      <c r="E87" s="11">
        <f>B49</f>
        <v>15700</v>
      </c>
      <c r="F87" s="11">
        <f>B11</f>
        <v>15700</v>
      </c>
      <c r="G87" s="11">
        <f>B12</f>
        <v>0</v>
      </c>
      <c r="H87" s="11">
        <f>B50</f>
        <v>7850</v>
      </c>
      <c r="I87" s="11">
        <f>B51</f>
        <v>1884</v>
      </c>
      <c r="J87" s="11">
        <f>B52</f>
        <v>486.7</v>
      </c>
      <c r="K87" s="11">
        <f>B53</f>
        <v>113.825</v>
      </c>
      <c r="L87" s="11">
        <f>B54</f>
        <v>0</v>
      </c>
      <c r="M87" s="11">
        <f>B55</f>
        <v>471</v>
      </c>
      <c r="N87" s="11">
        <f>B56</f>
        <v>0</v>
      </c>
      <c r="O87" s="11">
        <f>B57</f>
        <v>5.4950000000000001</v>
      </c>
      <c r="P87" s="11">
        <f>B58</f>
        <v>0</v>
      </c>
      <c r="Q87" s="11">
        <f>B59</f>
        <v>2961.0199999999995</v>
      </c>
      <c r="R87" s="11">
        <f>B60</f>
        <v>4888.9800000000005</v>
      </c>
      <c r="S87" s="11">
        <f>B62</f>
        <v>486.7</v>
      </c>
      <c r="T87" s="11">
        <f>B63</f>
        <v>113.825</v>
      </c>
      <c r="U87" s="11">
        <f>B64</f>
        <v>510.25</v>
      </c>
      <c r="V87" s="11">
        <f>B65</f>
        <v>0</v>
      </c>
      <c r="W87" s="11">
        <f>B66</f>
        <v>0</v>
      </c>
      <c r="X87" s="11">
        <f>B67</f>
        <v>42</v>
      </c>
      <c r="Y87" s="11">
        <f>B68</f>
        <v>0</v>
      </c>
      <c r="Z87" s="11">
        <f>B69</f>
        <v>3085.0499999999993</v>
      </c>
      <c r="AA87" s="11">
        <f>B70</f>
        <v>471</v>
      </c>
      <c r="AB87" s="11">
        <f>B71</f>
        <v>0</v>
      </c>
      <c r="AC87" s="11">
        <f>B72</f>
        <v>515.745</v>
      </c>
      <c r="AD87" s="11">
        <f>B73</f>
        <v>0</v>
      </c>
      <c r="AE87" s="11">
        <f>B74</f>
        <v>0</v>
      </c>
      <c r="AF87" s="11">
        <f>B75</f>
        <v>42</v>
      </c>
      <c r="AG87" s="11">
        <f>B76</f>
        <v>0</v>
      </c>
      <c r="AH87" s="11">
        <f>B78</f>
        <v>9002.7749999999996</v>
      </c>
      <c r="AI87" s="11">
        <f>B13</f>
        <v>0</v>
      </c>
      <c r="AJ87" s="11">
        <f>B14</f>
        <v>0</v>
      </c>
      <c r="AK87" s="11">
        <f>B15</f>
        <v>0</v>
      </c>
      <c r="AL87" s="11">
        <f>B79</f>
        <v>6697.2250000000004</v>
      </c>
      <c r="AM87" s="11">
        <f>B80</f>
        <v>6697.2250000000004</v>
      </c>
      <c r="AN87" s="26">
        <f>B81</f>
        <v>0.42657484076433122</v>
      </c>
      <c r="AO87" s="22" t="str">
        <f>B82</f>
        <v>SAFE</v>
      </c>
      <c r="AP87" s="23" t="str">
        <f>B19</f>
        <v>July planning scenario</v>
      </c>
    </row>
    <row r="88" spans="1:42" ht="1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row>
    <row r="89" spans="1:42" ht="1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row>
    <row r="90" spans="1:42" ht="1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row>
    <row r="91" spans="1:42" ht="1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row>
    <row r="92" spans="1:42" ht="1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row>
    <row r="93" spans="1:42" ht="1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row>
    <row r="94" spans="1:42" ht="1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row>
    <row r="95" spans="1:42" ht="1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row>
    <row r="96" spans="1:42" ht="1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row>
    <row r="97" spans="1:42" ht="1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row>
    <row r="98" spans="1:42" ht="1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row>
    <row r="99" spans="1:42" ht="1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row>
    <row r="100" spans="1:42" ht="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row>
    <row r="101" spans="1:42" ht="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row>
    <row r="102" spans="1:42" ht="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row>
  </sheetData>
  <mergeCells count="7">
    <mergeCell ref="A85:AP85"/>
    <mergeCell ref="A61:F61"/>
    <mergeCell ref="A77:F77"/>
    <mergeCell ref="A2:F3"/>
    <mergeCell ref="A5:F5"/>
    <mergeCell ref="A25:F25"/>
    <mergeCell ref="A47:F47"/>
  </mergeCells>
  <conditionalFormatting sqref="B81">
    <cfRule type="colorScale" priority="1">
      <colorScale>
        <cfvo type="min"/>
        <cfvo type="percentile" val="50"/>
        <cfvo type="max"/>
        <color rgb="FFF4CCCC"/>
        <color rgb="FFFFF2CC"/>
        <color rgb="FFE2F0D9"/>
      </colorScale>
    </cfRule>
  </conditionalFormatting>
  <conditionalFormatting sqref="B82">
    <cfRule type="expression" dxfId="1" priority="2">
      <formula>OR(B82="DEFICIT",B82="DIRE WARNING")</formula>
    </cfRule>
    <cfRule type="expression" dxfId="0" priority="3">
      <formula>OR(B82="OK",B82="SAFE",B82="GREAT")</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Planner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Tuchman</cp:lastModifiedBy>
  <dcterms:created xsi:type="dcterms:W3CDTF">2026-07-14T20:05:02Z</dcterms:created>
  <dcterms:modified xsi:type="dcterms:W3CDTF">2026-07-14T20:42:48Z</dcterms:modified>
</cp:coreProperties>
</file>